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Fonseca\github\compare-time-series\tables\"/>
    </mc:Choice>
  </mc:AlternateContent>
  <xr:revisionPtr revIDLastSave="0" documentId="13_ncr:1_{3016859B-B44D-488D-96E0-2E0465B06B50}" xr6:coauthVersionLast="47" xr6:coauthVersionMax="47" xr10:uidLastSave="{00000000-0000-0000-0000-000000000000}"/>
  <bookViews>
    <workbookView xWindow="-120" yWindow="-120" windowWidth="29040" windowHeight="15720" xr2:uid="{27521BE8-EDAD-44F8-A1B3-0260395A06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4" i="1" l="1"/>
  <c r="H22" i="1"/>
  <c r="H23" i="1"/>
  <c r="H21" i="1"/>
  <c r="G24" i="1"/>
  <c r="G22" i="1"/>
  <c r="G23" i="1"/>
  <c r="G21" i="1"/>
  <c r="H19" i="1"/>
  <c r="G19" i="1"/>
  <c r="H17" i="1"/>
  <c r="H18" i="1"/>
  <c r="H16" i="1"/>
  <c r="G17" i="1"/>
  <c r="G18" i="1"/>
  <c r="G16" i="1"/>
  <c r="H14" i="1"/>
  <c r="G14" i="1"/>
  <c r="K11" i="1"/>
  <c r="K9" i="1"/>
  <c r="I12" i="1"/>
  <c r="J12" i="1"/>
  <c r="H12" i="1"/>
  <c r="J11" i="1"/>
  <c r="I11" i="1"/>
  <c r="H11" i="1"/>
  <c r="J10" i="1"/>
  <c r="I10" i="1"/>
  <c r="H10" i="1"/>
  <c r="J9" i="1"/>
  <c r="I9" i="1"/>
  <c r="H9" i="1"/>
  <c r="H7" i="1"/>
  <c r="G7" i="1"/>
  <c r="L5" i="1"/>
  <c r="K5" i="1"/>
  <c r="J5" i="1"/>
  <c r="I5" i="1"/>
  <c r="C5" i="1"/>
  <c r="D5" i="1"/>
  <c r="E5" i="1"/>
  <c r="B5" i="1"/>
  <c r="H5" i="1"/>
  <c r="H3" i="1"/>
  <c r="H4" i="1"/>
  <c r="H2" i="1"/>
  <c r="G5" i="1"/>
  <c r="G3" i="1"/>
  <c r="G4" i="1"/>
  <c r="G2" i="1"/>
</calcChain>
</file>

<file path=xl/sharedStrings.xml><?xml version="1.0" encoding="utf-8"?>
<sst xmlns="http://schemas.openxmlformats.org/spreadsheetml/2006/main" count="23" uniqueCount="23">
  <si>
    <t>t0</t>
  </si>
  <si>
    <t>t1</t>
  </si>
  <si>
    <t>t2</t>
  </si>
  <si>
    <t>x1</t>
  </si>
  <si>
    <t>y1</t>
  </si>
  <si>
    <t>x0</t>
  </si>
  <si>
    <t>y0</t>
  </si>
  <si>
    <t>Abs_Diff_t1</t>
  </si>
  <si>
    <t>Abs_Diff_t0</t>
  </si>
  <si>
    <t>Abs_Diff_Sum_t0</t>
  </si>
  <si>
    <t>Abs_Diff_Sum_t1</t>
  </si>
  <si>
    <t>Cn_t0</t>
  </si>
  <si>
    <t>Cn_t1</t>
  </si>
  <si>
    <t>Eq51</t>
  </si>
  <si>
    <t>Eq53</t>
  </si>
  <si>
    <t>Eq54</t>
  </si>
  <si>
    <t>t0 to t1 (pixel0)</t>
  </si>
  <si>
    <t>t1 to t2 (pixel0)</t>
  </si>
  <si>
    <t>t0 to t1 (pixel1)</t>
  </si>
  <si>
    <t>t1 to t2 (pixel1)</t>
  </si>
  <si>
    <t>Eq49</t>
  </si>
  <si>
    <t>Eq50</t>
  </si>
  <si>
    <t>Eq52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</si>
</sst>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2E999-BFD5-41E7-83A6-09CECB8A152E}">
  <dimension ref="A1:L27"/>
  <sheetViews>
    <sheetView tabSelected="1" zoomScale="130" zoomScaleNormal="130" workbookViewId="0">
      <selection activeCell="M9" sqref="M9"/>
    </sheetView>
  </sheetViews>
  <sheetFormatPr defaultRowHeight="15" x14ac:dyDescent="0.25"/>
  <cols>
    <col min="7" max="7" width="13.140625" bestFit="1" customWidth="1"/>
    <col min="8" max="8" width="10.5703125" bestFit="1" customWidth="1"/>
    <col min="9" max="9" width="16.28515625" bestFit="1" customWidth="1"/>
    <col min="10" max="10" width="15.5703125" bestFit="1" customWidth="1"/>
  </cols>
  <sheetData>
    <row r="1" spans="1:12" x14ac:dyDescent="0.25">
      <c r="A1" s="1"/>
      <c r="B1" s="7" t="s">
        <v>5</v>
      </c>
      <c r="C1" s="7" t="s">
        <v>3</v>
      </c>
      <c r="D1" s="7" t="s">
        <v>6</v>
      </c>
      <c r="E1" s="7" t="s">
        <v>4</v>
      </c>
      <c r="F1" s="9" t="s">
        <v>13</v>
      </c>
      <c r="G1" s="2" t="s">
        <v>8</v>
      </c>
      <c r="H1" s="2" t="s">
        <v>7</v>
      </c>
      <c r="I1" s="4" t="s">
        <v>9</v>
      </c>
      <c r="J1" s="4" t="s">
        <v>10</v>
      </c>
      <c r="K1" s="6" t="s">
        <v>11</v>
      </c>
      <c r="L1" s="6" t="s">
        <v>12</v>
      </c>
    </row>
    <row r="2" spans="1:12" x14ac:dyDescent="0.25">
      <c r="A2" s="1" t="s">
        <v>0</v>
      </c>
      <c r="B2" s="7">
        <v>2</v>
      </c>
      <c r="C2" s="7">
        <v>5</v>
      </c>
      <c r="D2" s="7">
        <v>4</v>
      </c>
      <c r="E2" s="7">
        <v>1</v>
      </c>
      <c r="F2" s="9"/>
      <c r="G2" s="2">
        <f>ABS(D2-B2)</f>
        <v>2</v>
      </c>
      <c r="H2" s="3">
        <f>ABS(E2-C2)</f>
        <v>4</v>
      </c>
      <c r="I2" s="5"/>
      <c r="J2" s="5"/>
      <c r="K2" s="6"/>
      <c r="L2" s="6"/>
    </row>
    <row r="3" spans="1:12" x14ac:dyDescent="0.25">
      <c r="A3" s="1" t="s">
        <v>1</v>
      </c>
      <c r="B3" s="7">
        <v>0</v>
      </c>
      <c r="C3" s="7">
        <v>4</v>
      </c>
      <c r="D3" s="7">
        <v>1</v>
      </c>
      <c r="E3" s="7">
        <v>5</v>
      </c>
      <c r="F3" s="9"/>
      <c r="G3" s="2">
        <f t="shared" ref="G3:G4" si="0">ABS(D3-B3)</f>
        <v>1</v>
      </c>
      <c r="H3" s="3">
        <f t="shared" ref="H3:H4" si="1">ABS(E3-C3)</f>
        <v>1</v>
      </c>
      <c r="I3" s="5"/>
      <c r="J3" s="5"/>
      <c r="K3" s="6"/>
      <c r="L3" s="6"/>
    </row>
    <row r="4" spans="1:12" x14ac:dyDescent="0.25">
      <c r="A4" s="1" t="s">
        <v>2</v>
      </c>
      <c r="B4" s="7">
        <v>5</v>
      </c>
      <c r="C4" s="7">
        <v>1</v>
      </c>
      <c r="D4" s="7">
        <v>0</v>
      </c>
      <c r="E4" s="7">
        <v>3</v>
      </c>
      <c r="F4" s="9"/>
      <c r="G4" s="2">
        <f t="shared" si="0"/>
        <v>5</v>
      </c>
      <c r="H4" s="3">
        <f t="shared" si="1"/>
        <v>2</v>
      </c>
      <c r="I4" s="5"/>
      <c r="J4" s="5"/>
      <c r="K4" s="6"/>
      <c r="L4" s="6"/>
    </row>
    <row r="5" spans="1:12" x14ac:dyDescent="0.25">
      <c r="B5" s="7">
        <f>SUM(B2:B4)</f>
        <v>7</v>
      </c>
      <c r="C5" s="7">
        <f t="shared" ref="C5:E5" si="2">SUM(C2:C4)</f>
        <v>10</v>
      </c>
      <c r="D5" s="7">
        <f t="shared" si="2"/>
        <v>5</v>
      </c>
      <c r="E5" s="7">
        <f t="shared" si="2"/>
        <v>9</v>
      </c>
      <c r="F5" s="9"/>
      <c r="G5" s="3">
        <f>SUM(G2:G4)</f>
        <v>8</v>
      </c>
      <c r="H5" s="3">
        <f>SUM(H2:H4)</f>
        <v>7</v>
      </c>
      <c r="I5" s="5">
        <f>ABS(D5-B5)</f>
        <v>2</v>
      </c>
      <c r="J5" s="5">
        <f>ABS(E5-C5)</f>
        <v>1</v>
      </c>
      <c r="K5" s="6">
        <f>ABS(G5-I5)</f>
        <v>6</v>
      </c>
      <c r="L5" s="6">
        <f>ABS(H5-J5)</f>
        <v>6</v>
      </c>
    </row>
    <row r="7" spans="1:12" x14ac:dyDescent="0.25">
      <c r="F7" s="1" t="s">
        <v>14</v>
      </c>
      <c r="G7" s="8">
        <f>(D4-D2)-(B4-B2)</f>
        <v>-7</v>
      </c>
      <c r="H7" s="8">
        <f>(E4-E2)-(C4-C2)</f>
        <v>6</v>
      </c>
    </row>
    <row r="9" spans="1:12" x14ac:dyDescent="0.25">
      <c r="F9" s="10" t="s">
        <v>15</v>
      </c>
      <c r="G9" t="s">
        <v>16</v>
      </c>
      <c r="H9">
        <f>D3-D2</f>
        <v>-3</v>
      </c>
      <c r="I9">
        <f>B3-B2</f>
        <v>-2</v>
      </c>
      <c r="J9">
        <f>ABS(H9-I9)</f>
        <v>1</v>
      </c>
      <c r="K9" s="9">
        <f>J9+J10</f>
        <v>7</v>
      </c>
    </row>
    <row r="10" spans="1:12" x14ac:dyDescent="0.25">
      <c r="F10" s="10"/>
      <c r="G10" t="s">
        <v>17</v>
      </c>
      <c r="H10">
        <f>D4-D3</f>
        <v>-1</v>
      </c>
      <c r="I10">
        <f>B4-B3</f>
        <v>5</v>
      </c>
      <c r="J10">
        <f>ABS(H10-I10)</f>
        <v>6</v>
      </c>
      <c r="K10" s="9"/>
    </row>
    <row r="11" spans="1:12" x14ac:dyDescent="0.25">
      <c r="F11" s="10"/>
      <c r="G11" t="s">
        <v>18</v>
      </c>
      <c r="H11">
        <f>E3-E2</f>
        <v>4</v>
      </c>
      <c r="I11">
        <f>C3-C2</f>
        <v>-1</v>
      </c>
      <c r="J11">
        <f>ABS(H11-I11)</f>
        <v>5</v>
      </c>
      <c r="K11" s="9">
        <f>J11+J12</f>
        <v>6</v>
      </c>
    </row>
    <row r="12" spans="1:12" x14ac:dyDescent="0.25">
      <c r="F12" s="10"/>
      <c r="G12" t="s">
        <v>19</v>
      </c>
      <c r="H12">
        <f>E4-E3</f>
        <v>-2</v>
      </c>
      <c r="I12">
        <f>C4-C3</f>
        <v>-3</v>
      </c>
      <c r="J12">
        <f>ABS(H12-I12)</f>
        <v>1</v>
      </c>
      <c r="K12" s="9"/>
    </row>
    <row r="14" spans="1:12" x14ac:dyDescent="0.25">
      <c r="G14">
        <f>ABS(G7)-K9</f>
        <v>0</v>
      </c>
      <c r="H14">
        <f>ABS(H7)-K11</f>
        <v>0</v>
      </c>
    </row>
    <row r="16" spans="1:12" x14ac:dyDescent="0.25">
      <c r="F16" t="s">
        <v>20</v>
      </c>
      <c r="G16">
        <f>MIN(D2,B2)</f>
        <v>2</v>
      </c>
      <c r="H16">
        <f>MIN(E2,C2)</f>
        <v>1</v>
      </c>
    </row>
    <row r="17" spans="6:8" x14ac:dyDescent="0.25">
      <c r="G17">
        <f t="shared" ref="G17:G18" si="3">MIN(D3,B3)</f>
        <v>0</v>
      </c>
      <c r="H17">
        <f t="shared" ref="H17:H18" si="4">MIN(E3,C3)</f>
        <v>4</v>
      </c>
    </row>
    <row r="18" spans="6:8" x14ac:dyDescent="0.25">
      <c r="G18">
        <f t="shared" si="3"/>
        <v>0</v>
      </c>
      <c r="H18">
        <f t="shared" si="4"/>
        <v>1</v>
      </c>
    </row>
    <row r="19" spans="6:8" x14ac:dyDescent="0.25">
      <c r="G19">
        <f>SUM(G16:G18)</f>
        <v>2</v>
      </c>
      <c r="H19">
        <f>SUM(H16:H18)</f>
        <v>6</v>
      </c>
    </row>
    <row r="21" spans="6:8" x14ac:dyDescent="0.25">
      <c r="F21" t="s">
        <v>21</v>
      </c>
      <c r="G21">
        <f>D2-B2</f>
        <v>2</v>
      </c>
      <c r="H21">
        <f>E2-C2</f>
        <v>-4</v>
      </c>
    </row>
    <row r="22" spans="6:8" x14ac:dyDescent="0.25">
      <c r="G22">
        <f t="shared" ref="G22:G23" si="5">D3-B3</f>
        <v>1</v>
      </c>
      <c r="H22">
        <f t="shared" ref="H22:H23" si="6">E3-C3</f>
        <v>1</v>
      </c>
    </row>
    <row r="23" spans="6:8" x14ac:dyDescent="0.25">
      <c r="G23">
        <f t="shared" si="5"/>
        <v>-5</v>
      </c>
      <c r="H23">
        <f t="shared" si="6"/>
        <v>2</v>
      </c>
    </row>
    <row r="24" spans="6:8" x14ac:dyDescent="0.25">
      <c r="G24">
        <f>SUM(G21:G23)</f>
        <v>-2</v>
      </c>
      <c r="H24">
        <f>SUM(H21:H23)</f>
        <v>-1</v>
      </c>
    </row>
    <row r="26" spans="6:8" x14ac:dyDescent="0.25">
      <c r="F26" t="s">
        <v>22</v>
      </c>
      <c r="G26">
        <v>1</v>
      </c>
      <c r="H26">
        <v>0</v>
      </c>
    </row>
    <row r="27" spans="6:8" x14ac:dyDescent="0.25">
      <c r="G27">
        <v>0</v>
      </c>
      <c r="H27">
        <v>1</v>
      </c>
    </row>
  </sheetData>
  <mergeCells count="4">
    <mergeCell ref="F1:F5"/>
    <mergeCell ref="K9:K10"/>
    <mergeCell ref="K11:K12"/>
    <mergeCell ref="F9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Galvao da Fonseca, Antonio</dc:creator>
  <cp:lastModifiedBy>Galvao da Fonseca, Antonio</cp:lastModifiedBy>
  <dcterms:created xsi:type="dcterms:W3CDTF">2025-10-21T21:36:06Z</dcterms:created>
  <dcterms:modified xsi:type="dcterms:W3CDTF">2025-10-29T22:37:01Z</dcterms:modified>
</cp:coreProperties>
</file>